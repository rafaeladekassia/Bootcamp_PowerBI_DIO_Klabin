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bcccdea555a41/Documentos/Cursos/Excel com Power BI DIO Klabin/3_Microsoft com Copilot/3_Desafio de projeto/"/>
    </mc:Choice>
  </mc:AlternateContent>
  <xr:revisionPtr revIDLastSave="311" documentId="13_ncr:1_{3C2F8ED6-40B2-4E08-832A-7140AC03FA60}" xr6:coauthVersionLast="47" xr6:coauthVersionMax="47" xr10:uidLastSave="{BC9B7746-2DC6-4187-AC6D-D83C85C556C1}"/>
  <bookViews>
    <workbookView xWindow="12870" yWindow="0" windowWidth="16050" windowHeight="1558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21" i="3"/>
</calcChain>
</file>

<file path=xl/sharedStrings.xml><?xml version="1.0" encoding="utf-8"?>
<sst xmlns="http://schemas.openxmlformats.org/spreadsheetml/2006/main" count="2020" uniqueCount="323">
  <si>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</si>
  <si>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</si>
  <si>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</si>
  <si>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</si>
  <si>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</si>
  <si>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</si>
  <si>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</si>
  <si>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</si>
  <si>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</si>
  <si>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</si>
  <si>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</si>
  <si>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</si>
  <si>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</si>
  <si>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</si>
  <si>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</si>
  <si>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</si>
  <si>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</si>
  <si>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</si>
  <si>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</si>
  <si>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</si>
  <si>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</si>
  <si>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</si>
  <si>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</si>
  <si>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</si>
  <si>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</si>
  <si>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</si>
  <si>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</si>
  <si>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</si>
  <si>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</si>
  <si>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</si>
  <si>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</si>
  <si>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</si>
  <si>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</si>
  <si>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</si>
  <si>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</si>
  <si>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</si>
  <si>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</si>
  <si>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</si>
  <si>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</si>
  <si>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</si>
  <si>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</si>
  <si>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</si>
  <si>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</si>
  <si>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</si>
  <si>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</si>
  <si>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</si>
  <si>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</si>
  <si>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</si>
  <si>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</si>
  <si>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</si>
  <si>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</si>
  <si>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</si>
  <si>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</si>
  <si>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</si>
  <si>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</si>
  <si>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</si>
  <si>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</si>
  <si>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</si>
  <si>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</si>
  <si>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</si>
  <si>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</si>
  <si>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</si>
  <si>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</si>
  <si>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</si>
  <si>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</si>
  <si>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</si>
  <si>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</si>
  <si>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</si>
  <si>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</si>
  <si>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</si>
  <si>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</si>
  <si>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</si>
  <si>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</si>
  <si>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</si>
  <si>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</si>
  <si>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</si>
  <si>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</si>
  <si>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</si>
  <si>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</si>
  <si>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</si>
  <si>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</si>
  <si>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</si>
  <si>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</si>
  <si>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</si>
  <si>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</si>
  <si>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</si>
  <si>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</si>
  <si>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</si>
  <si>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</si>
  <si>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</si>
  <si>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</si>
  <si>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</si>
  <si>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</si>
  <si>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</si>
  <si>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</si>
  <si>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</si>
  <si>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</si>
  <si>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</si>
  <si>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</si>
  <si>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</si>
  <si>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</si>
  <si>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</si>
  <si>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</si>
  <si>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</si>
  <si>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</si>
  <si>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</si>
  <si>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</si>
  <si>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</si>
  <si>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</si>
  <si>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</si>
  <si>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</si>
  <si>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</si>
  <si>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</si>
  <si>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</si>
  <si>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</si>
  <si>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</si>
  <si>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</si>
  <si>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</si>
  <si>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</si>
  <si>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</si>
  <si>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</si>
  <si>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</si>
  <si>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</si>
  <si>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</si>
  <si>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</si>
  <si>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</si>
  <si>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</si>
  <si>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</si>
  <si>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</si>
  <si>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</si>
  <si>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</si>
  <si>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</si>
  <si>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</si>
  <si>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</si>
  <si>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</si>
  <si>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</si>
  <si>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</si>
  <si>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</si>
  <si>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</si>
  <si>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</si>
  <si>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</si>
  <si>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</si>
  <si>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</si>
  <si>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</si>
  <si>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</si>
  <si>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</si>
  <si>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</si>
  <si>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</si>
  <si>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</si>
  <si>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</si>
  <si>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</si>
  <si>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</si>
  <si>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</si>
  <si>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</si>
  <si>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</si>
  <si>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</si>
  <si>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</si>
  <si>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</si>
  <si>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</si>
  <si>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</si>
  <si>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</si>
  <si>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</si>
  <si>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</si>
  <si>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</si>
  <si>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</si>
  <si>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</si>
  <si>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</si>
  <si>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</si>
  <si>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</si>
  <si>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</si>
  <si>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</si>
  <si>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</si>
  <si>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</si>
  <si>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</si>
  <si>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</si>
  <si>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</si>
  <si>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</si>
  <si>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</si>
  <si>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</si>
  <si>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</si>
  <si>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</si>
  <si>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</si>
  <si>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</si>
  <si>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</si>
  <si>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</si>
  <si>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</si>
  <si>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</si>
  <si>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</si>
  <si>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</si>
  <si>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</si>
  <si>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</si>
  <si>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</si>
  <si>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</si>
  <si>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</si>
  <si>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</si>
  <si>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</si>
  <si>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</si>
  <si>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</si>
  <si>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</si>
  <si>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</si>
  <si>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</si>
  <si>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</si>
  <si>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</si>
  <si>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</si>
  <si>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</si>
  <si>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</si>
  <si>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</si>
  <si>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</si>
  <si>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</si>
  <si>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</si>
  <si>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</si>
  <si>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</si>
  <si>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</si>
  <si>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</si>
  <si>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</si>
  <si>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</si>
  <si>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</si>
  <si>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</si>
  <si>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</si>
  <si>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</si>
  <si>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</si>
  <si>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</si>
  <si>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</si>
  <si>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</si>
  <si>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</si>
  <si>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</si>
  <si>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</si>
  <si>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</si>
  <si>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</si>
  <si>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</si>
  <si>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</si>
  <si>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</si>
  <si>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</si>
  <si>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</si>
  <si>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</si>
  <si>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</si>
  <si>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</si>
  <si>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</si>
  <si>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</si>
  <si>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</si>
  <si>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</si>
  <si>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</si>
  <si>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</si>
  <si>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</si>
  <si>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</si>
  <si>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</si>
  <si>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</si>
  <si>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</si>
  <si>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</si>
  <si>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</si>
  <si>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</si>
  <si>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</si>
  <si>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</si>
  <si>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</si>
  <si>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</si>
  <si>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</si>
  <si>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</si>
  <si>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</si>
  <si>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</si>
  <si>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</si>
  <si>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</si>
  <si>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</si>
  <si>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</si>
  <si>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</si>
  <si>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</si>
  <si>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</si>
  <si>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</si>
  <si>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</si>
  <si>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</si>
  <si>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</si>
  <si>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</si>
  <si>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</si>
  <si>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</si>
  <si>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</si>
  <si>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</si>
  <si>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</si>
  <si>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</si>
  <si>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</si>
  <si>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</si>
  <si>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</si>
  <si>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</si>
  <si>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</si>
  <si>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</si>
  <si>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</si>
  <si>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</si>
  <si>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</si>
  <si>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</si>
  <si>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</si>
  <si>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</si>
  <si>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</si>
  <si>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</si>
  <si>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</si>
  <si>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</si>
  <si>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</si>
  <si>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</si>
  <si>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</si>
  <si>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</si>
  <si>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</si>
  <si>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</si>
  <si>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</si>
  <si>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</si>
  <si>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</si>
  <si>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</si>
  <si>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</si>
  <si>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</si>
  <si>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</si>
  <si>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</si>
  <si>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</si>
  <si>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</si>
  <si>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</si>
  <si>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</si>
  <si>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</si>
  <si>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</si>
  <si>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</si>
  <si>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</si>
  <si>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</si>
  <si>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1: Qual é o faturamento do </t>
    </r>
    <r>
      <rPr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</si>
  <si>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 xml:space="preserve">Pergunta 2: Qual é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autorrenovação (não é renovação automática)?</t>
    </r>
  </si>
  <si>
    <t>Perguntas de Negócios</t>
  </si>
  <si>
    <t>XBOX GAME PASS SUBSCRIPTIONS SALES</t>
  </si>
  <si>
    <t>Soma de EA Play Season Pass</t>
  </si>
  <si>
    <r>
      <t>Pergunta 4:</t>
    </r>
    <r>
      <rPr>
        <sz val="11"/>
        <color theme="1"/>
        <rFont val="Aptos Narrow"/>
        <family val="2"/>
        <scheme val="minor"/>
      </rPr>
      <t xml:space="preserve"> Total de Vendas de Assinaturas do Minecraft Season Pass.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</si>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</sst>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9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6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6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4" fillId="8" borderId="0" xfId="3" applyFill="1"/>
    <xf numFmtId="0" fontId="0" fillId="9" borderId="0" xfId="0" applyFill="1"/>
    <xf numFmtId="0" fontId="0" fillId="0" borderId="0" xfId="0" applyNumberFormat="1"/>
    <xf numFmtId="169" fontId="0" fillId="0" borderId="0" xfId="0" applyNumberFormat="1"/>
    <xf numFmtId="0" fontId="5" fillId="0" borderId="0" xfId="0" applyFont="1"/>
    <xf numFmtId="0" fontId="0" fillId="0" borderId="2" xfId="0" applyBorder="1"/>
    <xf numFmtId="0" fontId="6" fillId="0" borderId="2" xfId="0" applyFont="1" applyBorder="1" applyAlignment="1">
      <alignment horizontal="left" indent="7"/>
    </xf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28"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0BCB21C-0FEC-4454-AD17-868871A95F00}">
      <tableStyleElement type="wholeTable" dxfId="13"/>
      <tableStyleElement type="headerRow" dxfId="12"/>
    </tableStyle>
  </tableStyles>
  <colors>
    <mruColors>
      <color rgb="FF22C56E"/>
      <color rgb="FF5BF6A8"/>
      <color rgb="FF22C55E"/>
      <color rgb="FF2AE6B1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[base_dashboard_xbox.xlsx]C̳álculos!tbl_annual_total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6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6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6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C̳álculos!$B$9:$B$12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C̳álculos!$C$9:$C$12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A-4C91-ADE5-165F89A15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483936"/>
        <c:axId val="1986484416"/>
      </c:barChart>
      <c:catAx>
        <c:axId val="198648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6484416"/>
        <c:crosses val="autoZero"/>
        <c:auto val="1"/>
        <c:lblAlgn val="ctr"/>
        <c:lblOffset val="100"/>
        <c:noMultiLvlLbl val="0"/>
      </c:catAx>
      <c:valAx>
        <c:axId val="198648441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8648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166687</xdr:colOff>
      <xdr:row>0</xdr:row>
      <xdr:rowOff>190499</xdr:rowOff>
    </xdr:from>
    <xdr:to>
      <xdr:col>2</xdr:col>
      <xdr:colOff>530143</xdr:colOff>
      <xdr:row>2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EF4FEE-ED42-4C9A-9920-799E66A3C5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263" b="2022"/>
        <a:stretch>
          <a:fillRect/>
        </a:stretch>
      </xdr:blipFill>
      <xdr:spPr>
        <a:xfrm>
          <a:off x="2143125" y="190499"/>
          <a:ext cx="601581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</xdr:colOff>
      <xdr:row>8</xdr:row>
      <xdr:rowOff>33337</xdr:rowOff>
    </xdr:from>
    <xdr:to>
      <xdr:col>0</xdr:col>
      <xdr:colOff>1916906</xdr:colOff>
      <xdr:row>22</xdr:row>
      <xdr:rowOff>33337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F7B38F2-2E5A-4BCD-ADDB-94A7A7C0D7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914525"/>
              <a:ext cx="1881187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178594</xdr:colOff>
      <xdr:row>6</xdr:row>
      <xdr:rowOff>185738</xdr:rowOff>
    </xdr:from>
    <xdr:to>
      <xdr:col>9</xdr:col>
      <xdr:colOff>345282</xdr:colOff>
      <xdr:row>14</xdr:row>
      <xdr:rowOff>42862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6503A971-5F20-C8FA-18C5-449F527A7010}"/>
            </a:ext>
          </a:extLst>
        </xdr:cNvPr>
        <xdr:cNvGrpSpPr/>
      </xdr:nvGrpSpPr>
      <xdr:grpSpPr>
        <a:xfrm>
          <a:off x="2155032" y="1459707"/>
          <a:ext cx="4655344" cy="1607343"/>
          <a:chOff x="2047875" y="1035844"/>
          <a:chExt cx="5322094" cy="160734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8FD1868-253E-42AB-87E4-11F97E0A7445}"/>
              </a:ext>
            </a:extLst>
          </xdr:cNvPr>
          <xdr:cNvSpPr/>
        </xdr:nvSpPr>
        <xdr:spPr>
          <a:xfrm>
            <a:off x="2047875" y="1035845"/>
            <a:ext cx="5322094" cy="1607342"/>
          </a:xfrm>
          <a:prstGeom prst="roundRect">
            <a:avLst>
              <a:gd name="adj" fmla="val 516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3230B6B-B162-40CA-A6F9-C57E510C32C8}"/>
              </a:ext>
            </a:extLst>
          </xdr:cNvPr>
          <xdr:cNvSpPr/>
        </xdr:nvSpPr>
        <xdr:spPr>
          <a:xfrm>
            <a:off x="3517490" y="1500187"/>
            <a:ext cx="3536156" cy="1062038"/>
          </a:xfrm>
          <a:prstGeom prst="roundRect">
            <a:avLst>
              <a:gd name="adj" fmla="val 22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11C87BD-67B0-4297-A107-A10D5E44218F}" type="TxLink">
              <a:rPr lang="en-US" sz="4000" b="0" i="0" u="none" strike="noStrike">
                <a:solidFill>
                  <a:srgbClr val="22C56E"/>
                </a:solidFill>
                <a:latin typeface="Aptos Narrow"/>
              </a:rPr>
              <a:pPr algn="ctr"/>
              <a:t>R$ 600,00</a:t>
            </a:fld>
            <a:endParaRPr lang="pt-BR" sz="4000">
              <a:solidFill>
                <a:srgbClr val="22C56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D75AA1F-5225-491D-AA2D-BE77630E89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7030" y="1416844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BC872DE-97A3-3907-1D57-A0BBD381226C}"/>
              </a:ext>
            </a:extLst>
          </xdr:cNvPr>
          <xdr:cNvSpPr/>
        </xdr:nvSpPr>
        <xdr:spPr>
          <a:xfrm>
            <a:off x="2047876" y="1035844"/>
            <a:ext cx="5322093" cy="452437"/>
          </a:xfrm>
          <a:prstGeom prst="round2SameRect">
            <a:avLst>
              <a:gd name="adj1" fmla="val 21930"/>
              <a:gd name="adj2" fmla="val 0"/>
            </a:avLst>
          </a:prstGeom>
          <a:solidFill>
            <a:srgbClr val="22C5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 EA PLAY SEASON PASS</a:t>
            </a:r>
            <a:endParaRPr lang="pt-BR" sz="1400" b="1"/>
          </a:p>
        </xdr:txBody>
      </xdr:sp>
    </xdr:grpSp>
    <xdr:clientData/>
  </xdr:twoCellAnchor>
  <xdr:twoCellAnchor>
    <xdr:from>
      <xdr:col>10</xdr:col>
      <xdr:colOff>11906</xdr:colOff>
      <xdr:row>6</xdr:row>
      <xdr:rowOff>200026</xdr:rowOff>
    </xdr:from>
    <xdr:to>
      <xdr:col>17</xdr:col>
      <xdr:colOff>583406</xdr:colOff>
      <xdr:row>14</xdr:row>
      <xdr:rowOff>57150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D1809195-5324-F1F9-038B-C8DDE8EF997A}"/>
            </a:ext>
          </a:extLst>
        </xdr:cNvPr>
        <xdr:cNvGrpSpPr/>
      </xdr:nvGrpSpPr>
      <xdr:grpSpPr>
        <a:xfrm>
          <a:off x="7084219" y="1473995"/>
          <a:ext cx="4655343" cy="1607343"/>
          <a:chOff x="7608094" y="1143000"/>
          <a:chExt cx="5322094" cy="1607343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BC36BF3-AD73-08C2-B124-FB8BE314075F}"/>
              </a:ext>
            </a:extLst>
          </xdr:cNvPr>
          <xdr:cNvSpPr/>
        </xdr:nvSpPr>
        <xdr:spPr>
          <a:xfrm>
            <a:off x="7608094" y="1143001"/>
            <a:ext cx="5322094" cy="1607342"/>
          </a:xfrm>
          <a:prstGeom prst="roundRect">
            <a:avLst>
              <a:gd name="adj" fmla="val 516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B95EAE48-FF86-83C6-2C9B-AEB80E30B357}"/>
              </a:ext>
            </a:extLst>
          </xdr:cNvPr>
          <xdr:cNvSpPr/>
        </xdr:nvSpPr>
        <xdr:spPr>
          <a:xfrm>
            <a:off x="9104933" y="1607343"/>
            <a:ext cx="3536156" cy="1062038"/>
          </a:xfrm>
          <a:prstGeom prst="roundRect">
            <a:avLst>
              <a:gd name="adj" fmla="val 22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757BF3A1-D882-409C-81C2-8EC2FA62597C}" type="TxLink">
              <a:rPr lang="en-US" sz="4000" b="0" i="0" u="none" strike="noStrike">
                <a:solidFill>
                  <a:srgbClr val="22C56E"/>
                </a:solidFill>
                <a:latin typeface="Aptos Narrow"/>
                <a:ea typeface="+mn-ea"/>
                <a:cs typeface="+mn-cs"/>
              </a:rPr>
              <a:pPr marL="0" indent="0" algn="ctr"/>
              <a:t>R$ 940,00</a:t>
            </a:fld>
            <a:endParaRPr lang="pt-BR" sz="4000" b="0" i="0" u="none" strike="noStrike">
              <a:solidFill>
                <a:srgbClr val="22C56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19654B00-FE0A-E617-B5D0-8ABD841A98E1}"/>
              </a:ext>
            </a:extLst>
          </xdr:cNvPr>
          <xdr:cNvSpPr/>
        </xdr:nvSpPr>
        <xdr:spPr>
          <a:xfrm>
            <a:off x="7608095" y="1143000"/>
            <a:ext cx="5322093" cy="452437"/>
          </a:xfrm>
          <a:prstGeom prst="round2SameRect">
            <a:avLst>
              <a:gd name="adj1" fmla="val 21930"/>
              <a:gd name="adj2" fmla="val 0"/>
            </a:avLst>
          </a:prstGeom>
          <a:solidFill>
            <a:srgbClr val="22C5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 MINECRAFT SEASON PASS</a:t>
            </a:r>
            <a:endParaRPr lang="pt-BR" sz="1400" b="1"/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5A1CB66-D1F2-4903-A5C9-161372726857}"/>
              </a:ext>
            </a:extLst>
          </xdr:cNvPr>
          <xdr:cNvGrpSpPr/>
        </xdr:nvGrpSpPr>
        <xdr:grpSpPr>
          <a:xfrm>
            <a:off x="8133633" y="1869280"/>
            <a:ext cx="1165148" cy="538164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2F0A56A1-29BD-D474-9259-5680F5167B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3E7F78E-8C1E-C55B-FD09-6774B72216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164306</xdr:colOff>
      <xdr:row>15</xdr:row>
      <xdr:rowOff>140493</xdr:rowOff>
    </xdr:from>
    <xdr:to>
      <xdr:col>17</xdr:col>
      <xdr:colOff>595312</xdr:colOff>
      <xdr:row>37</xdr:row>
      <xdr:rowOff>59530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170EDC1-94A4-A75C-5C0A-6FC55728C4D4}"/>
            </a:ext>
          </a:extLst>
        </xdr:cNvPr>
        <xdr:cNvGrpSpPr/>
      </xdr:nvGrpSpPr>
      <xdr:grpSpPr>
        <a:xfrm>
          <a:off x="2140744" y="3355181"/>
          <a:ext cx="9610724" cy="4110037"/>
          <a:chOff x="2164557" y="2867025"/>
          <a:chExt cx="10134599" cy="411003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0698FFD-04C7-06BA-5686-02F909FDEFE0}"/>
              </a:ext>
            </a:extLst>
          </xdr:cNvPr>
          <xdr:cNvGrpSpPr/>
        </xdr:nvGrpSpPr>
        <xdr:grpSpPr>
          <a:xfrm>
            <a:off x="2166936" y="2881313"/>
            <a:ext cx="10132220" cy="4095749"/>
            <a:chOff x="2024062" y="1226344"/>
            <a:chExt cx="5322094" cy="288131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8366047-20FE-F606-A6CD-71CAB7EA102F}"/>
                </a:ext>
              </a:extLst>
            </xdr:cNvPr>
            <xdr:cNvSpPr/>
          </xdr:nvSpPr>
          <xdr:spPr>
            <a:xfrm>
              <a:off x="2024062" y="1226344"/>
              <a:ext cx="5322094" cy="2881312"/>
            </a:xfrm>
            <a:prstGeom prst="roundRect">
              <a:avLst>
                <a:gd name="adj" fmla="val 22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CEB8154-61DA-4524-B6CC-C09058229792}"/>
                </a:ext>
              </a:extLst>
            </xdr:cNvPr>
            <xdr:cNvGraphicFramePr>
              <a:graphicFrameLocks/>
            </xdr:cNvGraphicFramePr>
          </xdr:nvGraphicFramePr>
          <xdr:xfrm>
            <a:off x="2400301" y="1561380"/>
            <a:ext cx="4571999" cy="249150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CE122574-FCCE-4AC1-B3E3-599F2DF95B9D}"/>
              </a:ext>
            </a:extLst>
          </xdr:cNvPr>
          <xdr:cNvSpPr/>
        </xdr:nvSpPr>
        <xdr:spPr>
          <a:xfrm>
            <a:off x="2164557" y="2867025"/>
            <a:ext cx="10134599" cy="452437"/>
          </a:xfrm>
          <a:prstGeom prst="round2SameRect">
            <a:avLst>
              <a:gd name="adj1" fmla="val 21930"/>
              <a:gd name="adj2" fmla="val 0"/>
            </a:avLst>
          </a:prstGeom>
          <a:solidFill>
            <a:srgbClr val="22C5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SUBSCRIPTIONS XBOX GAME PASS</a:t>
            </a:r>
            <a:endParaRPr lang="pt-BR" sz="1400" b="1"/>
          </a:p>
        </xdr:txBody>
      </xdr:sp>
    </xdr:grpSp>
    <xdr:clientData/>
  </xdr:twoCellAnchor>
  <xdr:twoCellAnchor>
    <xdr:from>
      <xdr:col>0</xdr:col>
      <xdr:colOff>428625</xdr:colOff>
      <xdr:row>0</xdr:row>
      <xdr:rowOff>154781</xdr:rowOff>
    </xdr:from>
    <xdr:to>
      <xdr:col>0</xdr:col>
      <xdr:colOff>1321594</xdr:colOff>
      <xdr:row>4</xdr:row>
      <xdr:rowOff>23812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6EECACDC-FBE3-40C8-B1CD-E6DC8C1CA3D4}"/>
            </a:ext>
          </a:extLst>
        </xdr:cNvPr>
        <xdr:cNvSpPr/>
      </xdr:nvSpPr>
      <xdr:spPr>
        <a:xfrm>
          <a:off x="428625" y="154781"/>
          <a:ext cx="892969" cy="89296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107156</xdr:colOff>
      <xdr:row>5</xdr:row>
      <xdr:rowOff>35719</xdr:rowOff>
    </xdr:from>
    <xdr:to>
      <xdr:col>0</xdr:col>
      <xdr:colOff>1928812</xdr:colOff>
      <xdr:row>6</xdr:row>
      <xdr:rowOff>261937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9CD7254A-FE07-5BC8-E17B-F7C703DF727C}"/>
            </a:ext>
          </a:extLst>
        </xdr:cNvPr>
        <xdr:cNvSpPr/>
      </xdr:nvSpPr>
      <xdr:spPr>
        <a:xfrm>
          <a:off x="107156" y="1190625"/>
          <a:ext cx="1821656" cy="34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&gt;</a:t>
          </a:r>
          <a:r>
            <a:rPr lang="pt-BR" sz="1400" b="1" baseline="0"/>
            <a:t> b</a:t>
          </a:r>
          <a:r>
            <a:rPr lang="pt-BR" sz="1400" b="1"/>
            <a:t>em-vinda,</a:t>
          </a:r>
          <a:r>
            <a:rPr lang="pt-BR" sz="1400" b="1" baseline="0"/>
            <a:t> Liana</a:t>
          </a:r>
          <a:endParaRPr lang="pt-BR" sz="1400" b="1"/>
        </a:p>
      </xdr:txBody>
    </xdr:sp>
    <xdr:clientData/>
  </xdr:twoCellAnchor>
  <xdr:oneCellAnchor>
    <xdr:from>
      <xdr:col>1</xdr:col>
      <xdr:colOff>142874</xdr:colOff>
      <xdr:row>3</xdr:row>
      <xdr:rowOff>23811</xdr:rowOff>
    </xdr:from>
    <xdr:ext cx="4303550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4E3AC9C-5781-D148-122C-2DB431CAE4A0}"/>
            </a:ext>
          </a:extLst>
        </xdr:cNvPr>
        <xdr:cNvSpPr txBox="1"/>
      </xdr:nvSpPr>
      <xdr:spPr>
        <a:xfrm>
          <a:off x="2119312" y="952499"/>
          <a:ext cx="43035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Calculation period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: 01/01/2024 - 31/12/2014 | Update: 10/04/2026 11:16</a:t>
          </a:r>
          <a:endParaRPr lang="pt-BR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a de Kássia" refreshedDate="46122.410472453703" createdVersion="8" refreshedVersion="8" minRefreshableVersion="3" recordCount="295" xr:uid="{13892186-0849-4034-85EB-C572E6149EC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463287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4DDE6-70B5-47CD-A513-3535264D60AA}" name="tbl_minecraft_price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1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E8017-269C-4AF4-BC4A-02CC62191A58}" name="tbl_easeasonpass_total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8796A-7580-49C4-909C-AEB1DDD2EC98}" name="tbl_annual_total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8:C12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AD2628F-FD15-4BCF-8941-3C9C131D6354}" sourceName="Subscription Type">
  <pivotTables>
    <pivotTable tabId="3" name="tbl_annual_total"/>
    <pivotTable tabId="3" name="tbl_easeasonpass_total"/>
    <pivotTable tabId="3" name="tbl_minecraft_price"/>
  </pivotTables>
  <data>
    <tabular pivotCacheId="184632876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C933C32-028A-4A09-85E3-A895F0E9FFD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7">
  <autoFilter ref="A1:M296" xr:uid="{34E0E886-4200-4B36-97B3-63DB74FF40A0}"/>
  <tableColumns count="13">
    <tableColumn id="1" xr3:uid="{C4A90516-688A-46BF-9167-EA16C2A8A652}" name="Subscriber ID" dataDxfId="26"/>
    <tableColumn id="2" xr3:uid="{53DD39D0-2220-4121-9E9D-4EAA7E151C0F}" name="Name" dataDxfId="25"/>
    <tableColumn id="3" xr3:uid="{4F5FF271-4C57-4BE0-8F2C-F82C8551625C}" name="Plan" dataDxfId="24"/>
    <tableColumn id="4" xr3:uid="{8C17EB93-79B9-4E55-B8F7-BEB82F8253E9}" name="Start Date" dataDxfId="23"/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2" xr3:uid="{2B04ABC8-DE6F-426E-ADC0-D8AFC68CA58E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33" sqref="C3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1" zoomScale="90" zoomScaleNormal="90" workbookViewId="0">
      <selection activeCell="C33" sqref="C3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2"/>
  <sheetViews>
    <sheetView showGridLines="0" topLeftCell="A21" workbookViewId="0">
      <selection activeCell="C33" sqref="C3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4" customWidth="1"/>
    <col min="5" max="5" width="10.855468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ht="24" x14ac:dyDescent="0.4">
      <c r="B2" s="16" t="s">
        <v>318</v>
      </c>
      <c r="C2" s="16"/>
    </row>
    <row r="3" spans="2:3" x14ac:dyDescent="0.25">
      <c r="B3" t="s">
        <v>316</v>
      </c>
    </row>
    <row r="4" spans="2:3" x14ac:dyDescent="0.25">
      <c r="B4" t="s">
        <v>317</v>
      </c>
    </row>
    <row r="8" spans="2:3" x14ac:dyDescent="0.25">
      <c r="B8" s="12" t="s">
        <v>313</v>
      </c>
      <c r="C8" t="s">
        <v>315</v>
      </c>
    </row>
    <row r="9" spans="2:3" x14ac:dyDescent="0.25">
      <c r="B9" s="13" t="s">
        <v>24</v>
      </c>
      <c r="C9" s="14">
        <v>1754</v>
      </c>
    </row>
    <row r="10" spans="2:3" x14ac:dyDescent="0.25">
      <c r="B10" s="15" t="s">
        <v>23</v>
      </c>
      <c r="C10" s="14">
        <v>217</v>
      </c>
    </row>
    <row r="11" spans="2:3" x14ac:dyDescent="0.25">
      <c r="B11" s="15" t="s">
        <v>19</v>
      </c>
      <c r="C11" s="14">
        <v>1537</v>
      </c>
    </row>
    <row r="12" spans="2:3" x14ac:dyDescent="0.25">
      <c r="B12" s="13" t="s">
        <v>314</v>
      </c>
      <c r="C12" s="14">
        <v>1754</v>
      </c>
    </row>
    <row r="15" spans="2:3" x14ac:dyDescent="0.25">
      <c r="B15" s="12" t="s">
        <v>16</v>
      </c>
      <c r="C15" t="s">
        <v>24</v>
      </c>
    </row>
    <row r="17" spans="2:5" x14ac:dyDescent="0.25">
      <c r="B17" s="12" t="s">
        <v>313</v>
      </c>
      <c r="C17" t="s">
        <v>320</v>
      </c>
    </row>
    <row r="18" spans="2:5" x14ac:dyDescent="0.25">
      <c r="B18" s="13" t="s">
        <v>22</v>
      </c>
      <c r="C18" s="18">
        <v>0</v>
      </c>
    </row>
    <row r="19" spans="2:5" x14ac:dyDescent="0.25">
      <c r="B19" s="13" t="s">
        <v>26</v>
      </c>
      <c r="C19" s="18">
        <v>0</v>
      </c>
    </row>
    <row r="20" spans="2:5" x14ac:dyDescent="0.25">
      <c r="B20" s="13" t="s">
        <v>18</v>
      </c>
      <c r="C20" s="18">
        <v>600</v>
      </c>
    </row>
    <row r="21" spans="2:5" x14ac:dyDescent="0.25">
      <c r="B21" s="13" t="s">
        <v>314</v>
      </c>
      <c r="C21" s="19">
        <v>600</v>
      </c>
      <c r="E21" s="19">
        <f>GETPIVOTDATA("EA Play Season Pass
Price",$B$17)</f>
        <v>600</v>
      </c>
    </row>
    <row r="23" spans="2:5" x14ac:dyDescent="0.25">
      <c r="B23" s="20" t="s">
        <v>321</v>
      </c>
    </row>
    <row r="26" spans="2:5" x14ac:dyDescent="0.25">
      <c r="B26" s="12" t="s">
        <v>16</v>
      </c>
      <c r="C26" t="s">
        <v>24</v>
      </c>
    </row>
    <row r="28" spans="2:5" x14ac:dyDescent="0.25">
      <c r="B28" s="12" t="s">
        <v>313</v>
      </c>
      <c r="C28" t="s">
        <v>322</v>
      </c>
    </row>
    <row r="29" spans="2:5" x14ac:dyDescent="0.25">
      <c r="B29" s="13" t="s">
        <v>22</v>
      </c>
      <c r="C29" s="14">
        <v>0</v>
      </c>
    </row>
    <row r="30" spans="2:5" x14ac:dyDescent="0.25">
      <c r="B30" s="13" t="s">
        <v>26</v>
      </c>
      <c r="C30" s="14">
        <v>540</v>
      </c>
    </row>
    <row r="31" spans="2:5" x14ac:dyDescent="0.25">
      <c r="B31" s="13" t="s">
        <v>18</v>
      </c>
      <c r="C31" s="14">
        <v>400</v>
      </c>
    </row>
    <row r="32" spans="2:5" x14ac:dyDescent="0.25">
      <c r="B32" s="13" t="s">
        <v>314</v>
      </c>
      <c r="C32" s="19">
        <v>940</v>
      </c>
      <c r="E32" s="19">
        <f>GETPIVOTDATA("Minecraft Season Pass Price",$B$28)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135"/>
  <sheetViews>
    <sheetView showGridLines="0" showRowColHeaders="0" tabSelected="1" zoomScale="80" zoomScaleNormal="80" workbookViewId="0">
      <selection activeCell="C16" sqref="C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9.7109375" style="4" customWidth="1"/>
    <col min="2" max="2" width="3.5703125" customWidth="1"/>
    <col min="12" max="12" width="6.5703125" customWidth="1"/>
  </cols>
  <sheetData>
    <row r="2" spans="1:18" ht="30" customHeight="1" thickBot="1" x14ac:dyDescent="0.55000000000000004">
      <c r="C2" s="22" t="s">
        <v>319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s="17" customFormat="1" ht="27.75" customHeight="1" thickTop="1" x14ac:dyDescent="0.25">
      <c r="A3" s="4"/>
    </row>
    <row r="4" spans="1:18" s="7" customFormat="1" ht="7.5" customHeight="1" x14ac:dyDescent="0.25">
      <c r="A4" s="4"/>
    </row>
    <row r="5" spans="1:18" s="7" customFormat="1" ht="10.5" customHeight="1" x14ac:dyDescent="0.25">
      <c r="A5" s="4"/>
    </row>
    <row r="6" spans="1:18" s="7" customFormat="1" ht="9.75" customHeight="1" x14ac:dyDescent="0.25">
      <c r="A6" s="4"/>
    </row>
    <row r="7" spans="1:18" s="7" customFormat="1" ht="33" customHeight="1" x14ac:dyDescent="0.25">
      <c r="A7" s="4"/>
    </row>
    <row r="8" spans="1:18" s="7" customForma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Rafaela de Kássia</cp:lastModifiedBy>
  <dcterms:created xsi:type="dcterms:W3CDTF">2024-12-19T13:13:10Z</dcterms:created>
  <dcterms:modified xsi:type="dcterms:W3CDTF">2026-04-10T14:19:18Z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